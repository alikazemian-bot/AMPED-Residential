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iveac-my.sharepoint.com/personal/blw41_uclive_ac_nz/Documents/Agent-based modelling/Model/"/>
    </mc:Choice>
  </mc:AlternateContent>
  <xr:revisionPtr revIDLastSave="89" documentId="8_{7DD779F9-A1AA-42D8-BC17-D57D02BD4046}" xr6:coauthVersionLast="47" xr6:coauthVersionMax="47" xr10:uidLastSave="{6A4AE754-E5FD-4979-8500-39922F3A365E}"/>
  <bookViews>
    <workbookView xWindow="-28920" yWindow="1395" windowWidth="29040" windowHeight="15840" xr2:uid="{CCA158E4-5A24-4322-8E97-038507DB8AA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4" i="1"/>
  <c r="J5" i="1"/>
  <c r="J6" i="1"/>
  <c r="J7" i="1"/>
  <c r="J8" i="1"/>
  <c r="J9" i="1"/>
  <c r="J10" i="1"/>
  <c r="J11" i="1"/>
  <c r="J12" i="1"/>
  <c r="J13" i="1"/>
  <c r="J14" i="1"/>
  <c r="J16" i="1"/>
  <c r="J17" i="1"/>
  <c r="J18" i="1"/>
  <c r="J19" i="1"/>
  <c r="J20" i="1"/>
  <c r="J22" i="1"/>
  <c r="J23" i="1"/>
  <c r="J24" i="1"/>
  <c r="J25" i="1"/>
  <c r="J26" i="1"/>
  <c r="J3" i="1"/>
  <c r="J15" i="1" l="1"/>
</calcChain>
</file>

<file path=xl/sharedStrings.xml><?xml version="1.0" encoding="utf-8"?>
<sst xmlns="http://schemas.openxmlformats.org/spreadsheetml/2006/main" count="12" uniqueCount="12">
  <si>
    <t>Data from plots n Figure 6 of (Yilmaz et al. 2017 'Occupant behaviour modelling in domestic buildings: the case of household electrical appliances'). Datapoints = avg. hourly number of switch-on events</t>
  </si>
  <si>
    <t>Hour</t>
  </si>
  <si>
    <t>Dishwasher</t>
  </si>
  <si>
    <t>Washing (washer + washer/drier)</t>
  </si>
  <si>
    <t>Tumble Drier</t>
  </si>
  <si>
    <t>Cooker</t>
  </si>
  <si>
    <t>Oven</t>
  </si>
  <si>
    <t>Grill</t>
  </si>
  <si>
    <t>Hob</t>
  </si>
  <si>
    <t>TV Total</t>
  </si>
  <si>
    <t>Electronics</t>
  </si>
  <si>
    <t>Note: Cooker = oven+grill+hob in single appliance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</si>
</sst>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Dishwasher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Sheet1!$B$3:$B$26</c:f>
              <c:numCache>
                <c:formatCode>General</c:formatCode>
                <c:ptCount val="24"/>
                <c:pt idx="0">
                  <c:v>1.6E-2</c:v>
                </c:pt>
                <c:pt idx="1">
                  <c:v>7.1000000000000004E-3</c:v>
                </c:pt>
                <c:pt idx="2">
                  <c:v>7.1000000000000004E-3</c:v>
                </c:pt>
                <c:pt idx="3">
                  <c:v>4.4000000000000003E-3</c:v>
                </c:pt>
                <c:pt idx="4">
                  <c:v>4.4000000000000003E-3</c:v>
                </c:pt>
                <c:pt idx="5">
                  <c:v>1.6999999999999999E-3</c:v>
                </c:pt>
                <c:pt idx="6">
                  <c:v>8.0000000000000002E-3</c:v>
                </c:pt>
                <c:pt idx="7">
                  <c:v>2.6599999999999999E-2</c:v>
                </c:pt>
                <c:pt idx="8">
                  <c:v>3.7999999999999999E-2</c:v>
                </c:pt>
                <c:pt idx="9">
                  <c:v>3.2000000000000001E-2</c:v>
                </c:pt>
                <c:pt idx="10">
                  <c:v>0.03</c:v>
                </c:pt>
                <c:pt idx="11">
                  <c:v>2.1000000000000001E-2</c:v>
                </c:pt>
                <c:pt idx="12">
                  <c:v>2.4E-2</c:v>
                </c:pt>
                <c:pt idx="13">
                  <c:v>3.4000000000000002E-2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1.9599999999999999E-2</c:v>
                </c:pt>
                <c:pt idx="17">
                  <c:v>2.7E-2</c:v>
                </c:pt>
                <c:pt idx="18">
                  <c:v>5.7700000000000001E-2</c:v>
                </c:pt>
                <c:pt idx="19">
                  <c:v>6.5769999999999995E-2</c:v>
                </c:pt>
                <c:pt idx="20">
                  <c:v>5.2400000000000002E-2</c:v>
                </c:pt>
                <c:pt idx="21">
                  <c:v>3.2800000000000003E-2</c:v>
                </c:pt>
                <c:pt idx="22">
                  <c:v>4.8800000000000003E-2</c:v>
                </c:pt>
                <c:pt idx="23">
                  <c:v>3.5499999999999997E-2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40-4656-8C51-A169F740B242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Tumble Drier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Sheet1!$D$3:$D$26</c:f>
              <c:numCache>
                <c:formatCode>General</c:formatCode>
                <c:ptCount val="24"/>
                <c:pt idx="0">
                  <c:v>4.0000000000000001E-3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2.66E-3</c:v>
                </c:pt>
                <c:pt idx="5">
                  <c:v>1.7700000000000001E-3</c:v>
                </c:pt>
                <c:pt idx="6">
                  <c:v>1.155E-2</c:v>
                </c:pt>
                <c:pt idx="7">
                  <c:v>2.3099999999999999E-2</c:v>
                </c:pt>
                <c:pt idx="8">
                  <c:v>3.1099999999999999E-2</c:v>
                </c:pt>
                <c:pt idx="9">
                  <c:v>3.9100000000000003E-2</c:v>
                </c:pt>
                <c:pt idx="10">
                  <c:v>4.6199999999999998E-2</c:v>
                </c:pt>
                <c:pt idx="11">
                  <c:v>5.2400000000000002E-2</c:v>
                </c:pt>
                <c:pt idx="12">
                  <c:v>5.0599999999999999E-2</c:v>
                </c:pt>
                <c:pt idx="13">
                  <c:v>0.03</c:v>
                </c:pt>
                <c:pt idx="14">
                  <c:v>0.02</c:v>
                </c:pt>
                <c:pt idx="15">
                  <c:v>0.03</c:v>
                </c:pt>
                <c:pt idx="16">
                  <c:v>2.5000000000000001E-2</c:v>
                </c:pt>
                <c:pt idx="17">
                  <c:v>0.02</c:v>
                </c:pt>
                <c:pt idx="18">
                  <c:v>4.53E-2</c:v>
                </c:pt>
                <c:pt idx="19">
                  <c:v>4.3499999999999997E-2</c:v>
                </c:pt>
                <c:pt idx="20">
                  <c:v>4.2599999999999999E-2</c:v>
                </c:pt>
                <c:pt idx="21">
                  <c:v>2.93E-2</c:v>
                </c:pt>
                <c:pt idx="22">
                  <c:v>2.0400000000000001E-2</c:v>
                </c:pt>
                <c:pt idx="23">
                  <c:v>8.8000000000000005E-3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40-4656-8C51-A169F740B242}"/>
            </c:ext>
          </c:extLst>
        </c:ser>
        <c:ser>
          <c:idx val="3"/>
          <c:order val="2"/>
          <c:tx>
            <c:strRef>
              <c:f>Sheet1!$C$2</c:f>
              <c:strCache>
                <c:ptCount val="1"/>
                <c:pt idx="0">
                  <c:v>Washing (washer + washer/drier)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Sheet1!$C$3:$C$26</c:f>
              <c:numCache>
                <c:formatCode>General</c:formatCode>
                <c:ptCount val="24"/>
                <c:pt idx="0">
                  <c:v>5.2500000000000003E-3</c:v>
                </c:pt>
                <c:pt idx="1">
                  <c:v>6.1700000000000001E-3</c:v>
                </c:pt>
                <c:pt idx="2">
                  <c:v>7.9500000000000005E-3</c:v>
                </c:pt>
                <c:pt idx="3">
                  <c:v>5.2700000000000004E-3</c:v>
                </c:pt>
                <c:pt idx="4">
                  <c:v>3.5400000000000002E-3</c:v>
                </c:pt>
                <c:pt idx="5">
                  <c:v>1.7770000000000001E-2</c:v>
                </c:pt>
                <c:pt idx="6">
                  <c:v>3.0210000000000001E-2</c:v>
                </c:pt>
                <c:pt idx="7">
                  <c:v>0.11463000000000001</c:v>
                </c:pt>
                <c:pt idx="8">
                  <c:v>0.15106999999999998</c:v>
                </c:pt>
                <c:pt idx="9">
                  <c:v>0.20610000000000001</c:v>
                </c:pt>
                <c:pt idx="10">
                  <c:v>0.2213</c:v>
                </c:pt>
                <c:pt idx="11">
                  <c:v>0.1812</c:v>
                </c:pt>
                <c:pt idx="12">
                  <c:v>0.14119999999999999</c:v>
                </c:pt>
                <c:pt idx="13">
                  <c:v>0.12975999999999999</c:v>
                </c:pt>
                <c:pt idx="14">
                  <c:v>8.7100000000000011E-2</c:v>
                </c:pt>
                <c:pt idx="15">
                  <c:v>0.08</c:v>
                </c:pt>
                <c:pt idx="16">
                  <c:v>7.4660000000000004E-2</c:v>
                </c:pt>
                <c:pt idx="17">
                  <c:v>8.7900000000000006E-2</c:v>
                </c:pt>
                <c:pt idx="18">
                  <c:v>6.13E-2</c:v>
                </c:pt>
                <c:pt idx="19">
                  <c:v>5.5940000000000004E-2</c:v>
                </c:pt>
                <c:pt idx="20">
                  <c:v>5.5959999999999996E-2</c:v>
                </c:pt>
                <c:pt idx="21">
                  <c:v>3.8220999999999998E-2</c:v>
                </c:pt>
                <c:pt idx="22">
                  <c:v>3.4640000000000004E-2</c:v>
                </c:pt>
                <c:pt idx="23">
                  <c:v>1.422E-2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6440-4656-8C51-A169F740B242}"/>
            </c:ext>
          </c:extLst>
        </c:ser>
        <c:ser>
          <c:idx val="4"/>
          <c:order val="3"/>
          <c:tx>
            <c:strRef>
              <c:f>Sheet1!$E$2</c:f>
              <c:strCache>
                <c:ptCount val="1"/>
                <c:pt idx="0">
                  <c:v>Cooker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Sheet1!$E$3:$E$26</c:f>
              <c:numCache>
                <c:formatCode>General</c:formatCode>
                <c:ptCount val="24"/>
                <c:pt idx="0">
                  <c:v>2.5899999999999999E-3</c:v>
                </c:pt>
                <c:pt idx="1">
                  <c:v>2.5899999999999999E-3</c:v>
                </c:pt>
                <c:pt idx="2">
                  <c:v>1.03E-2</c:v>
                </c:pt>
                <c:pt idx="3">
                  <c:v>1.1679999999999999E-2</c:v>
                </c:pt>
                <c:pt idx="4">
                  <c:v>1.1679999999999999E-2</c:v>
                </c:pt>
                <c:pt idx="5">
                  <c:v>2.7269999999999999E-2</c:v>
                </c:pt>
                <c:pt idx="6">
                  <c:v>4.8000000000000001E-2</c:v>
                </c:pt>
                <c:pt idx="7">
                  <c:v>0.11</c:v>
                </c:pt>
                <c:pt idx="8">
                  <c:v>0.1221</c:v>
                </c:pt>
                <c:pt idx="9">
                  <c:v>0.111</c:v>
                </c:pt>
                <c:pt idx="10">
                  <c:v>0.1051</c:v>
                </c:pt>
                <c:pt idx="11">
                  <c:v>0.12330000000000001</c:v>
                </c:pt>
                <c:pt idx="12">
                  <c:v>0.14799999999999999</c:v>
                </c:pt>
                <c:pt idx="13">
                  <c:v>0.05</c:v>
                </c:pt>
                <c:pt idx="14">
                  <c:v>0.04</c:v>
                </c:pt>
                <c:pt idx="15">
                  <c:v>0.03</c:v>
                </c:pt>
                <c:pt idx="16">
                  <c:v>0.08</c:v>
                </c:pt>
                <c:pt idx="17">
                  <c:v>0.1</c:v>
                </c:pt>
                <c:pt idx="18">
                  <c:v>0.15</c:v>
                </c:pt>
                <c:pt idx="19">
                  <c:v>0.15190000000000001</c:v>
                </c:pt>
                <c:pt idx="20">
                  <c:v>8.8300000000000003E-2</c:v>
                </c:pt>
                <c:pt idx="21">
                  <c:v>4.9399999999999999E-2</c:v>
                </c:pt>
                <c:pt idx="22">
                  <c:v>3.3700000000000001E-2</c:v>
                </c:pt>
                <c:pt idx="23">
                  <c:v>1.1679999999999999E-2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6440-4656-8C51-A169F740B242}"/>
            </c:ext>
          </c:extLst>
        </c:ser>
        <c:ser>
          <c:idx val="5"/>
          <c:order val="4"/>
          <c:tx>
            <c:strRef>
              <c:f>Sheet1!$F$2</c:f>
              <c:strCache>
                <c:ptCount val="1"/>
                <c:pt idx="0">
                  <c:v>Oven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Sheet1!$F$3:$F$26</c:f>
              <c:numCache>
                <c:formatCode>General</c:formatCode>
                <c:ptCount val="24"/>
                <c:pt idx="0">
                  <c:v>2.5899999999999999E-3</c:v>
                </c:pt>
                <c:pt idx="1">
                  <c:v>5.1900000000000002E-3</c:v>
                </c:pt>
                <c:pt idx="2">
                  <c:v>6.4900000000000001E-3</c:v>
                </c:pt>
                <c:pt idx="3">
                  <c:v>2.5899999999999999E-3</c:v>
                </c:pt>
                <c:pt idx="4">
                  <c:v>5.1900000000000002E-3</c:v>
                </c:pt>
                <c:pt idx="5">
                  <c:v>5.1900000000000002E-3</c:v>
                </c:pt>
                <c:pt idx="6">
                  <c:v>3.3700000000000001E-2</c:v>
                </c:pt>
                <c:pt idx="7">
                  <c:v>6.88E-2</c:v>
                </c:pt>
                <c:pt idx="8">
                  <c:v>4.6699999999999998E-2</c:v>
                </c:pt>
                <c:pt idx="9">
                  <c:v>3.3700000000000001E-2</c:v>
                </c:pt>
                <c:pt idx="10">
                  <c:v>3.6360000000000003E-2</c:v>
                </c:pt>
                <c:pt idx="11">
                  <c:v>4.1500000000000002E-2</c:v>
                </c:pt>
                <c:pt idx="12">
                  <c:v>6.88E-2</c:v>
                </c:pt>
                <c:pt idx="13">
                  <c:v>1.7999999999999999E-2</c:v>
                </c:pt>
                <c:pt idx="14">
                  <c:v>1.4E-2</c:v>
                </c:pt>
                <c:pt idx="15">
                  <c:v>0.02</c:v>
                </c:pt>
                <c:pt idx="16">
                  <c:v>0.02</c:v>
                </c:pt>
                <c:pt idx="17">
                  <c:v>1.4E-2</c:v>
                </c:pt>
                <c:pt idx="18">
                  <c:v>9.8699999999999996E-2</c:v>
                </c:pt>
                <c:pt idx="19">
                  <c:v>7.5300000000000006E-2</c:v>
                </c:pt>
                <c:pt idx="20">
                  <c:v>3.6360000000000003E-2</c:v>
                </c:pt>
                <c:pt idx="21">
                  <c:v>2.5899999999999999E-2</c:v>
                </c:pt>
                <c:pt idx="22">
                  <c:v>3.5000000000000003E-2</c:v>
                </c:pt>
                <c:pt idx="23">
                  <c:v>3.2399999999999998E-2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6440-4656-8C51-A169F740B242}"/>
            </c:ext>
          </c:extLst>
        </c:ser>
        <c:ser>
          <c:idx val="6"/>
          <c:order val="5"/>
          <c:tx>
            <c:strRef>
              <c:f>Sheet1!$G$2</c:f>
              <c:strCache>
                <c:ptCount val="1"/>
                <c:pt idx="0">
                  <c:v>Grill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Sheet1!$G$3:$G$26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1.1999999999999999E-3</c:v>
                </c:pt>
                <c:pt idx="3">
                  <c:v>2.5999999999999999E-3</c:v>
                </c:pt>
                <c:pt idx="4">
                  <c:v>2.5969999999999999E-3</c:v>
                </c:pt>
                <c:pt idx="5">
                  <c:v>1.2899999999999999E-3</c:v>
                </c:pt>
                <c:pt idx="6">
                  <c:v>1.1999999999999999E-3</c:v>
                </c:pt>
                <c:pt idx="7">
                  <c:v>9.1000000000000004E-3</c:v>
                </c:pt>
                <c:pt idx="8">
                  <c:v>7.79E-3</c:v>
                </c:pt>
                <c:pt idx="9">
                  <c:v>7.79E-3</c:v>
                </c:pt>
                <c:pt idx="10">
                  <c:v>2.5899999999999999E-3</c:v>
                </c:pt>
                <c:pt idx="11">
                  <c:v>1.558E-2</c:v>
                </c:pt>
                <c:pt idx="12">
                  <c:v>5.1900000000000002E-2</c:v>
                </c:pt>
                <c:pt idx="13">
                  <c:v>0.01</c:v>
                </c:pt>
                <c:pt idx="14">
                  <c:v>2E-3</c:v>
                </c:pt>
                <c:pt idx="15">
                  <c:v>1E-3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3.1099999999999999E-2</c:v>
                </c:pt>
                <c:pt idx="19">
                  <c:v>1.558E-2</c:v>
                </c:pt>
                <c:pt idx="20">
                  <c:v>1.03E-2</c:v>
                </c:pt>
                <c:pt idx="21">
                  <c:v>1.1000000000000001E-3</c:v>
                </c:pt>
                <c:pt idx="22">
                  <c:v>2.5899999999999999E-3</c:v>
                </c:pt>
                <c:pt idx="23">
                  <c:v>2.5999999999999999E-3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6440-4656-8C51-A169F740B242}"/>
            </c:ext>
          </c:extLst>
        </c:ser>
        <c:ser>
          <c:idx val="7"/>
          <c:order val="6"/>
          <c:tx>
            <c:strRef>
              <c:f>Sheet1!$H$2</c:f>
              <c:strCache>
                <c:ptCount val="1"/>
                <c:pt idx="0">
                  <c:v>Hob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Sheet1!$H$3:$H$26</c:f>
              <c:numCache>
                <c:formatCode>General</c:formatCode>
                <c:ptCount val="24"/>
                <c:pt idx="0">
                  <c:v>2.5000000000000001E-3</c:v>
                </c:pt>
                <c:pt idx="1">
                  <c:v>1.2999999999999999E-3</c:v>
                </c:pt>
                <c:pt idx="2">
                  <c:v>2.5999999999999999E-3</c:v>
                </c:pt>
                <c:pt idx="3">
                  <c:v>3.8899999999999998E-3</c:v>
                </c:pt>
                <c:pt idx="4">
                  <c:v>1.2979999999999999E-3</c:v>
                </c:pt>
                <c:pt idx="5">
                  <c:v>3.8899999999999998E-3</c:v>
                </c:pt>
                <c:pt idx="6">
                  <c:v>1.55E-2</c:v>
                </c:pt>
                <c:pt idx="7">
                  <c:v>9.0899999999999995E-2</c:v>
                </c:pt>
                <c:pt idx="8">
                  <c:v>0.112</c:v>
                </c:pt>
                <c:pt idx="9">
                  <c:v>6.88E-2</c:v>
                </c:pt>
                <c:pt idx="10">
                  <c:v>6.0999999999999999E-2</c:v>
                </c:pt>
                <c:pt idx="11">
                  <c:v>4.9299999999999997E-2</c:v>
                </c:pt>
                <c:pt idx="12">
                  <c:v>7.2700000000000001E-2</c:v>
                </c:pt>
                <c:pt idx="13">
                  <c:v>0.01</c:v>
                </c:pt>
                <c:pt idx="14">
                  <c:v>0.03</c:v>
                </c:pt>
                <c:pt idx="15">
                  <c:v>0.02</c:v>
                </c:pt>
                <c:pt idx="16">
                  <c:v>0.04</c:v>
                </c:pt>
                <c:pt idx="17">
                  <c:v>0.08</c:v>
                </c:pt>
                <c:pt idx="18">
                  <c:v>0.13</c:v>
                </c:pt>
                <c:pt idx="19">
                  <c:v>8.8999999999999996E-2</c:v>
                </c:pt>
                <c:pt idx="20">
                  <c:v>5.8400000000000001E-2</c:v>
                </c:pt>
                <c:pt idx="21">
                  <c:v>4.0250000000000001E-2</c:v>
                </c:pt>
                <c:pt idx="22">
                  <c:v>1.039E-2</c:v>
                </c:pt>
                <c:pt idx="23">
                  <c:v>7.79E-3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6440-4656-8C51-A169F740B242}"/>
            </c:ext>
          </c:extLst>
        </c:ser>
        <c:ser>
          <c:idx val="8"/>
          <c:order val="7"/>
          <c:tx>
            <c:strRef>
              <c:f>Sheet1!$I$2</c:f>
              <c:strCache>
                <c:ptCount val="1"/>
                <c:pt idx="0">
                  <c:v>TV Total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Sheet1!$I$3:$I$26</c:f>
              <c:numCache>
                <c:formatCode>General</c:formatCode>
                <c:ptCount val="24"/>
                <c:pt idx="0">
                  <c:v>4.9699999999999994E-2</c:v>
                </c:pt>
                <c:pt idx="1">
                  <c:v>1.3500000000000002E-2</c:v>
                </c:pt>
                <c:pt idx="2">
                  <c:v>1.917E-2</c:v>
                </c:pt>
                <c:pt idx="3">
                  <c:v>7.1230000000000016E-2</c:v>
                </c:pt>
                <c:pt idx="4">
                  <c:v>4.2831000000000001E-2</c:v>
                </c:pt>
                <c:pt idx="5">
                  <c:v>7.3450000000000001E-2</c:v>
                </c:pt>
                <c:pt idx="6">
                  <c:v>0.13450000000000001</c:v>
                </c:pt>
                <c:pt idx="7">
                  <c:v>0.2</c:v>
                </c:pt>
                <c:pt idx="8">
                  <c:v>0.23</c:v>
                </c:pt>
                <c:pt idx="9">
                  <c:v>0.2228</c:v>
                </c:pt>
                <c:pt idx="10">
                  <c:v>0.17985999999999999</c:v>
                </c:pt>
                <c:pt idx="11">
                  <c:v>8.2540000000000002E-2</c:v>
                </c:pt>
                <c:pt idx="12">
                  <c:v>0.12102</c:v>
                </c:pt>
                <c:pt idx="13">
                  <c:v>0.11702399999999999</c:v>
                </c:pt>
                <c:pt idx="14">
                  <c:v>8.1699999999999995E-2</c:v>
                </c:pt>
                <c:pt idx="15">
                  <c:v>0.11194999999999999</c:v>
                </c:pt>
                <c:pt idx="16">
                  <c:v>0.16850499999999999</c:v>
                </c:pt>
                <c:pt idx="17">
                  <c:v>0.18</c:v>
                </c:pt>
                <c:pt idx="18">
                  <c:v>0.210705</c:v>
                </c:pt>
                <c:pt idx="19">
                  <c:v>0.36</c:v>
                </c:pt>
                <c:pt idx="20">
                  <c:v>0.35</c:v>
                </c:pt>
                <c:pt idx="21">
                  <c:v>0.31</c:v>
                </c:pt>
                <c:pt idx="22">
                  <c:v>0.30780000000000002</c:v>
                </c:pt>
                <c:pt idx="23">
                  <c:v>9.0399999999999994E-2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C-479B-8E9E-24BE584D6ADF}"/>
            </c:ext>
          </c:extLst>
        </c:ser>
        <c:ser>
          <c:idx val="9"/>
          <c:order val="8"/>
          <c:tx>
            <c:strRef>
              <c:f>Sheet1!$J$2</c:f>
              <c:strCache>
                <c:ptCount val="1"/>
                <c:pt idx="0">
                  <c:v>Electronics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Sheet1!$J$3:$J$26</c:f>
              <c:numCache>
                <c:formatCode>General</c:formatCode>
                <c:ptCount val="24"/>
                <c:pt idx="0">
                  <c:v>2.4849999999999997E-2</c:v>
                </c:pt>
                <c:pt idx="1">
                  <c:v>6.7500000000000008E-3</c:v>
                </c:pt>
                <c:pt idx="2">
                  <c:v>9.5849999999999998E-3</c:v>
                </c:pt>
                <c:pt idx="3">
                  <c:v>3.5615000000000008E-2</c:v>
                </c:pt>
                <c:pt idx="4">
                  <c:v>2.1415500000000001E-2</c:v>
                </c:pt>
                <c:pt idx="5">
                  <c:v>3.6725000000000001E-2</c:v>
                </c:pt>
                <c:pt idx="6">
                  <c:v>6.7250000000000004E-2</c:v>
                </c:pt>
                <c:pt idx="7">
                  <c:v>0.1</c:v>
                </c:pt>
                <c:pt idx="8">
                  <c:v>0.115</c:v>
                </c:pt>
                <c:pt idx="9">
                  <c:v>0.1114</c:v>
                </c:pt>
                <c:pt idx="10">
                  <c:v>8.9929999999999996E-2</c:v>
                </c:pt>
                <c:pt idx="11">
                  <c:v>4.1270000000000001E-2</c:v>
                </c:pt>
                <c:pt idx="12">
                  <c:v>6.0510000000000001E-2</c:v>
                </c:pt>
                <c:pt idx="13">
                  <c:v>5.8511999999999995E-2</c:v>
                </c:pt>
                <c:pt idx="14">
                  <c:v>4.0849999999999997E-2</c:v>
                </c:pt>
                <c:pt idx="15">
                  <c:v>5.5974999999999997E-2</c:v>
                </c:pt>
                <c:pt idx="16">
                  <c:v>8.4252499999999994E-2</c:v>
                </c:pt>
                <c:pt idx="17">
                  <c:v>0.09</c:v>
                </c:pt>
                <c:pt idx="18">
                  <c:v>0.1053525</c:v>
                </c:pt>
                <c:pt idx="19">
                  <c:v>0.18</c:v>
                </c:pt>
                <c:pt idx="20">
                  <c:v>0.17499999999999999</c:v>
                </c:pt>
                <c:pt idx="21">
                  <c:v>0.155</c:v>
                </c:pt>
                <c:pt idx="22">
                  <c:v>0.15390000000000001</c:v>
                </c:pt>
                <c:pt idx="23">
                  <c:v>4.5199999999999997E-2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2C-479B-8E9E-24BE584D6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60048"/>
        <c:axId val="467108960"/>
      </c:scatterChart>
      <c:valAx>
        <c:axId val="27996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7108960"/>
        <c:crosses val="autoZero"/>
        <c:crossBetween val="midCat"/>
      </c:valAx>
      <c:valAx>
        <c:axId val="467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9960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152399</xdr:colOff>
      <xdr:row>2</xdr:row>
      <xdr:rowOff>147637</xdr:rowOff>
    </xdr:from>
    <xdr:to>
      <xdr:col>24</xdr:col>
      <xdr:colOff>581025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EE45B-A158-4121-AD81-97AF45A46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3E16-3CC5-4214-87A5-800D9EA8184F}">
  <dimension ref="A1:J27"/>
  <sheetViews>
    <sheetView tabSelected="1" workbookViewId="0">
      <selection activeCell="H22" sqref="H22"/>
    </sheetView>
  </sheetViews>
  <sheetFormatPr defaultRowHeight="15"/>
  <cols>
    <col min="2" max="2" width="11.28515625" bestFit="1" customWidth="1"/>
    <col min="3" max="3" width="13.140625" bestFit="1" customWidth="1"/>
    <col min="4" max="4" width="12.5703125" bestFit="1" customWidth="1"/>
    <col min="5" max="5" width="16.7109375" bestFit="1" customWidth="1"/>
    <col min="6" max="6" width="8.42578125" customWidth="1"/>
    <col min="7" max="7" width="8" bestFit="1" customWidth="1"/>
    <col min="8" max="9" width="9" bestFit="1" customWidth="1"/>
    <col min="10" max="10" width="13.140625" bestFit="1" customWidth="1"/>
    <col min="11" max="11" width="8" bestFit="1" customWidth="1"/>
    <col min="12" max="14" width="9" bestFit="1" customWidth="1"/>
  </cols>
  <sheetData>
    <row r="1" spans="1:10">
      <c r="A1" t="s">
        <v>0</v>
      </c>
    </row>
    <row r="2" spans="1:10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s="2">
        <v>0</v>
      </c>
      <c r="B3">
        <v>1.6E-2</v>
      </c>
      <c r="C3">
        <v>5.2500000000000003E-3</v>
      </c>
      <c r="D3">
        <v>4.0000000000000001E-3</v>
      </c>
      <c r="E3">
        <v>2.5899999999999999E-3</v>
      </c>
      <c r="F3">
        <v>2.5899999999999999E-3</v>
      </c>
      <c r="G3">
        <v>0</v>
      </c>
      <c r="H3">
        <v>2.5000000000000001E-3</v>
      </c>
      <c r="I3">
        <v>4.9699999999999994E-2</v>
      </c>
      <c r="J3">
        <f>I3*0.5</f>
        <v>2.4849999999999997E-2</v>
      </c>
    </row>
    <row r="4" spans="1:10">
      <c r="A4" s="2">
        <v>1</v>
      </c>
      <c r="B4">
        <v>7.1000000000000004E-3</v>
      </c>
      <c r="C4">
        <v>6.1700000000000001E-3</v>
      </c>
      <c r="D4">
        <v>0</v>
      </c>
      <c r="E4">
        <v>2.5899999999999999E-3</v>
      </c>
      <c r="F4">
        <v>5.1900000000000002E-3</v>
      </c>
      <c r="G4">
        <v>0</v>
      </c>
      <c r="H4">
        <v>1.2999999999999999E-3</v>
      </c>
      <c r="I4">
        <v>1.3500000000000002E-2</v>
      </c>
      <c r="J4">
        <f t="shared" ref="J4:J26" si="0">I4*0.5</f>
        <v>6.7500000000000008E-3</v>
      </c>
    </row>
    <row r="5" spans="1:10">
      <c r="A5" s="2">
        <v>2</v>
      </c>
      <c r="B5">
        <v>7.1000000000000004E-3</v>
      </c>
      <c r="C5">
        <v>7.9500000000000005E-3</v>
      </c>
      <c r="D5">
        <v>0</v>
      </c>
      <c r="E5">
        <v>1.03E-2</v>
      </c>
      <c r="F5">
        <v>6.4900000000000001E-3</v>
      </c>
      <c r="G5">
        <v>1.1999999999999999E-3</v>
      </c>
      <c r="H5">
        <v>2.5999999999999999E-3</v>
      </c>
      <c r="I5">
        <v>1.917E-2</v>
      </c>
      <c r="J5">
        <f t="shared" si="0"/>
        <v>9.5849999999999998E-3</v>
      </c>
    </row>
    <row r="6" spans="1:10">
      <c r="A6" s="2">
        <v>3</v>
      </c>
      <c r="B6">
        <v>4.4000000000000003E-3</v>
      </c>
      <c r="C6">
        <v>5.2700000000000004E-3</v>
      </c>
      <c r="D6">
        <v>0</v>
      </c>
      <c r="E6">
        <v>1.1679999999999999E-2</v>
      </c>
      <c r="F6">
        <v>2.5899999999999999E-3</v>
      </c>
      <c r="G6">
        <v>2.5999999999999999E-3</v>
      </c>
      <c r="H6">
        <v>3.8899999999999998E-3</v>
      </c>
      <c r="I6">
        <v>7.1230000000000016E-2</v>
      </c>
      <c r="J6">
        <f t="shared" si="0"/>
        <v>3.5615000000000008E-2</v>
      </c>
    </row>
    <row r="7" spans="1:10">
      <c r="A7" s="2">
        <v>4</v>
      </c>
      <c r="B7">
        <v>4.4000000000000003E-3</v>
      </c>
      <c r="C7">
        <v>3.5400000000000002E-3</v>
      </c>
      <c r="D7">
        <v>2.66E-3</v>
      </c>
      <c r="E7">
        <v>1.1679999999999999E-2</v>
      </c>
      <c r="F7">
        <v>5.1900000000000002E-3</v>
      </c>
      <c r="G7">
        <v>2.5969999999999999E-3</v>
      </c>
      <c r="H7">
        <v>1.2979999999999999E-3</v>
      </c>
      <c r="I7">
        <v>4.2831000000000001E-2</v>
      </c>
      <c r="J7">
        <f t="shared" si="0"/>
        <v>2.1415500000000001E-2</v>
      </c>
    </row>
    <row r="8" spans="1:10">
      <c r="A8" s="2">
        <v>5</v>
      </c>
      <c r="B8">
        <v>1.6999999999999999E-3</v>
      </c>
      <c r="C8">
        <v>1.7770000000000001E-2</v>
      </c>
      <c r="D8">
        <v>1.7700000000000001E-3</v>
      </c>
      <c r="E8">
        <v>2.7269999999999999E-2</v>
      </c>
      <c r="F8">
        <v>5.1900000000000002E-3</v>
      </c>
      <c r="G8">
        <v>1.2899999999999999E-3</v>
      </c>
      <c r="H8">
        <v>3.8899999999999998E-3</v>
      </c>
      <c r="I8">
        <v>7.3450000000000001E-2</v>
      </c>
      <c r="J8">
        <f t="shared" si="0"/>
        <v>3.6725000000000001E-2</v>
      </c>
    </row>
    <row r="9" spans="1:10">
      <c r="A9" s="2">
        <v>6</v>
      </c>
      <c r="B9">
        <v>8.0000000000000002E-3</v>
      </c>
      <c r="C9">
        <v>3.0210000000000001E-2</v>
      </c>
      <c r="D9">
        <v>1.155E-2</v>
      </c>
      <c r="E9">
        <v>4.8000000000000001E-2</v>
      </c>
      <c r="F9">
        <v>3.3700000000000001E-2</v>
      </c>
      <c r="G9">
        <v>1.1999999999999999E-3</v>
      </c>
      <c r="H9">
        <v>1.55E-2</v>
      </c>
      <c r="I9">
        <v>0.13450000000000001</v>
      </c>
      <c r="J9">
        <f t="shared" si="0"/>
        <v>6.7250000000000004E-2</v>
      </c>
    </row>
    <row r="10" spans="1:10">
      <c r="A10" s="2">
        <v>7</v>
      </c>
      <c r="B10">
        <v>2.6599999999999999E-2</v>
      </c>
      <c r="C10">
        <v>0.11463000000000001</v>
      </c>
      <c r="D10">
        <v>2.3099999999999999E-2</v>
      </c>
      <c r="E10">
        <v>0.11</v>
      </c>
      <c r="F10">
        <v>6.88E-2</v>
      </c>
      <c r="G10">
        <v>9.1000000000000004E-3</v>
      </c>
      <c r="H10">
        <v>9.0899999999999995E-2</v>
      </c>
      <c r="I10">
        <v>0.2</v>
      </c>
      <c r="J10">
        <f t="shared" si="0"/>
        <v>0.1</v>
      </c>
    </row>
    <row r="11" spans="1:10">
      <c r="A11" s="2">
        <v>8</v>
      </c>
      <c r="B11">
        <v>3.7999999999999999E-2</v>
      </c>
      <c r="C11">
        <v>0.15106999999999998</v>
      </c>
      <c r="D11">
        <v>3.1099999999999999E-2</v>
      </c>
      <c r="E11">
        <v>0.1221</v>
      </c>
      <c r="F11">
        <v>4.6699999999999998E-2</v>
      </c>
      <c r="G11">
        <v>7.79E-3</v>
      </c>
      <c r="H11">
        <v>0.112</v>
      </c>
      <c r="I11">
        <v>0.23</v>
      </c>
      <c r="J11">
        <f t="shared" si="0"/>
        <v>0.115</v>
      </c>
    </row>
    <row r="12" spans="1:10">
      <c r="A12" s="2">
        <v>9</v>
      </c>
      <c r="B12">
        <v>3.2000000000000001E-2</v>
      </c>
      <c r="C12">
        <v>0.20610000000000001</v>
      </c>
      <c r="D12">
        <v>3.9100000000000003E-2</v>
      </c>
      <c r="E12">
        <v>0.111</v>
      </c>
      <c r="F12">
        <v>3.3700000000000001E-2</v>
      </c>
      <c r="G12">
        <v>7.79E-3</v>
      </c>
      <c r="H12">
        <v>6.88E-2</v>
      </c>
      <c r="I12">
        <v>0.2228</v>
      </c>
      <c r="J12">
        <f t="shared" si="0"/>
        <v>0.1114</v>
      </c>
    </row>
    <row r="13" spans="1:10">
      <c r="A13" s="2">
        <v>10</v>
      </c>
      <c r="B13">
        <v>0.03</v>
      </c>
      <c r="C13">
        <v>0.2213</v>
      </c>
      <c r="D13">
        <v>4.6199999999999998E-2</v>
      </c>
      <c r="E13">
        <v>0.1051</v>
      </c>
      <c r="F13">
        <v>3.6360000000000003E-2</v>
      </c>
      <c r="G13">
        <v>2.5899999999999999E-3</v>
      </c>
      <c r="H13">
        <v>6.0999999999999999E-2</v>
      </c>
      <c r="I13">
        <v>0.17985999999999999</v>
      </c>
      <c r="J13">
        <f t="shared" si="0"/>
        <v>8.9929999999999996E-2</v>
      </c>
    </row>
    <row r="14" spans="1:10">
      <c r="A14" s="2">
        <v>11</v>
      </c>
      <c r="B14">
        <v>2.1000000000000001E-2</v>
      </c>
      <c r="C14">
        <v>0.1812</v>
      </c>
      <c r="D14">
        <v>5.2400000000000002E-2</v>
      </c>
      <c r="E14">
        <v>0.12330000000000001</v>
      </c>
      <c r="F14">
        <v>4.1500000000000002E-2</v>
      </c>
      <c r="G14">
        <v>1.558E-2</v>
      </c>
      <c r="H14">
        <v>4.9299999999999997E-2</v>
      </c>
      <c r="I14">
        <v>8.2540000000000002E-2</v>
      </c>
      <c r="J14">
        <f t="shared" si="0"/>
        <v>4.1270000000000001E-2</v>
      </c>
    </row>
    <row r="15" spans="1:10">
      <c r="A15" s="2">
        <v>12</v>
      </c>
      <c r="B15">
        <v>2.4E-2</v>
      </c>
      <c r="C15">
        <v>0.14119999999999999</v>
      </c>
      <c r="D15">
        <v>5.0599999999999999E-2</v>
      </c>
      <c r="E15">
        <v>0.14799999999999999</v>
      </c>
      <c r="F15">
        <v>6.88E-2</v>
      </c>
      <c r="G15">
        <v>5.1900000000000002E-2</v>
      </c>
      <c r="H15">
        <v>7.2700000000000001E-2</v>
      </c>
      <c r="I15">
        <v>0.12102</v>
      </c>
      <c r="J15">
        <f t="shared" si="0"/>
        <v>6.0510000000000001E-2</v>
      </c>
    </row>
    <row r="16" spans="1:10">
      <c r="A16" s="2">
        <v>13</v>
      </c>
      <c r="B16">
        <v>3.4000000000000002E-2</v>
      </c>
      <c r="C16">
        <v>0.12975999999999999</v>
      </c>
      <c r="D16">
        <v>0.03</v>
      </c>
      <c r="E16">
        <v>0.05</v>
      </c>
      <c r="F16">
        <v>1.7999999999999999E-2</v>
      </c>
      <c r="G16">
        <v>0.01</v>
      </c>
      <c r="H16">
        <v>0.01</v>
      </c>
      <c r="I16">
        <v>0.11702399999999999</v>
      </c>
      <c r="J16">
        <f t="shared" si="0"/>
        <v>5.8511999999999995E-2</v>
      </c>
    </row>
    <row r="17" spans="1:10">
      <c r="A17" s="2">
        <v>14</v>
      </c>
      <c r="B17">
        <v>2.5000000000000001E-2</v>
      </c>
      <c r="C17">
        <v>8.7100000000000011E-2</v>
      </c>
      <c r="D17">
        <v>0.02</v>
      </c>
      <c r="E17">
        <v>0.04</v>
      </c>
      <c r="F17">
        <v>1.4E-2</v>
      </c>
      <c r="G17">
        <v>2E-3</v>
      </c>
      <c r="H17">
        <v>0.03</v>
      </c>
      <c r="I17">
        <v>8.1699999999999995E-2</v>
      </c>
      <c r="J17">
        <f t="shared" si="0"/>
        <v>4.0849999999999997E-2</v>
      </c>
    </row>
    <row r="18" spans="1:10">
      <c r="A18" s="2">
        <v>15</v>
      </c>
      <c r="B18">
        <v>2.5000000000000001E-2</v>
      </c>
      <c r="C18">
        <v>0.08</v>
      </c>
      <c r="D18">
        <v>0.03</v>
      </c>
      <c r="E18">
        <v>0.03</v>
      </c>
      <c r="F18">
        <v>0.02</v>
      </c>
      <c r="G18">
        <v>1E-3</v>
      </c>
      <c r="H18">
        <v>0.02</v>
      </c>
      <c r="I18">
        <v>0.11194999999999999</v>
      </c>
      <c r="J18">
        <f t="shared" si="0"/>
        <v>5.5974999999999997E-2</v>
      </c>
    </row>
    <row r="19" spans="1:10">
      <c r="A19" s="2">
        <v>16</v>
      </c>
      <c r="B19">
        <v>1.9599999999999999E-2</v>
      </c>
      <c r="C19">
        <v>7.4660000000000004E-2</v>
      </c>
      <c r="D19">
        <v>2.5000000000000001E-2</v>
      </c>
      <c r="E19">
        <v>0.08</v>
      </c>
      <c r="F19">
        <v>0.02</v>
      </c>
      <c r="G19">
        <v>2.5000000000000001E-2</v>
      </c>
      <c r="H19">
        <v>0.04</v>
      </c>
      <c r="I19">
        <v>0.16850499999999999</v>
      </c>
      <c r="J19">
        <f t="shared" si="0"/>
        <v>8.4252499999999994E-2</v>
      </c>
    </row>
    <row r="20" spans="1:10">
      <c r="A20" s="2">
        <v>17</v>
      </c>
      <c r="B20">
        <v>2.7E-2</v>
      </c>
      <c r="C20">
        <v>8.7900000000000006E-2</v>
      </c>
      <c r="D20">
        <v>0.02</v>
      </c>
      <c r="E20">
        <v>0.1</v>
      </c>
      <c r="F20">
        <v>1.4E-2</v>
      </c>
      <c r="G20">
        <v>0.03</v>
      </c>
      <c r="H20">
        <v>0.08</v>
      </c>
      <c r="I20">
        <v>0.18</v>
      </c>
      <c r="J20">
        <f t="shared" si="0"/>
        <v>0.09</v>
      </c>
    </row>
    <row r="21" spans="1:10">
      <c r="A21" s="2">
        <v>18</v>
      </c>
      <c r="B21">
        <v>5.7700000000000001E-2</v>
      </c>
      <c r="C21">
        <v>6.13E-2</v>
      </c>
      <c r="D21">
        <v>4.53E-2</v>
      </c>
      <c r="E21">
        <v>0.15</v>
      </c>
      <c r="F21">
        <v>9.8699999999999996E-2</v>
      </c>
      <c r="G21">
        <v>3.1099999999999999E-2</v>
      </c>
      <c r="H21">
        <v>0.13</v>
      </c>
      <c r="I21">
        <v>0.210705</v>
      </c>
      <c r="J21">
        <f t="shared" si="0"/>
        <v>0.1053525</v>
      </c>
    </row>
    <row r="22" spans="1:10">
      <c r="A22" s="2">
        <v>19</v>
      </c>
      <c r="B22">
        <v>6.5769999999999995E-2</v>
      </c>
      <c r="C22">
        <v>5.5940000000000004E-2</v>
      </c>
      <c r="D22">
        <v>4.3499999999999997E-2</v>
      </c>
      <c r="E22">
        <v>0.15190000000000001</v>
      </c>
      <c r="F22">
        <v>7.5300000000000006E-2</v>
      </c>
      <c r="G22">
        <v>1.558E-2</v>
      </c>
      <c r="H22">
        <v>8.8999999999999996E-2</v>
      </c>
      <c r="I22">
        <v>0.36</v>
      </c>
      <c r="J22">
        <f t="shared" si="0"/>
        <v>0.18</v>
      </c>
    </row>
    <row r="23" spans="1:10">
      <c r="A23" s="2">
        <v>20</v>
      </c>
      <c r="B23">
        <v>5.2400000000000002E-2</v>
      </c>
      <c r="C23">
        <v>5.5959999999999996E-2</v>
      </c>
      <c r="D23">
        <v>4.2599999999999999E-2</v>
      </c>
      <c r="E23">
        <v>8.8300000000000003E-2</v>
      </c>
      <c r="F23">
        <v>3.6360000000000003E-2</v>
      </c>
      <c r="G23">
        <v>1.03E-2</v>
      </c>
      <c r="H23">
        <v>5.8400000000000001E-2</v>
      </c>
      <c r="I23">
        <v>0.35</v>
      </c>
      <c r="J23">
        <f t="shared" si="0"/>
        <v>0.17499999999999999</v>
      </c>
    </row>
    <row r="24" spans="1:10">
      <c r="A24" s="2">
        <v>21</v>
      </c>
      <c r="B24">
        <v>3.2800000000000003E-2</v>
      </c>
      <c r="C24">
        <v>3.8220999999999998E-2</v>
      </c>
      <c r="D24">
        <v>2.93E-2</v>
      </c>
      <c r="E24">
        <v>4.9399999999999999E-2</v>
      </c>
      <c r="F24">
        <v>2.5899999999999999E-2</v>
      </c>
      <c r="G24">
        <v>1.1000000000000001E-3</v>
      </c>
      <c r="H24">
        <v>4.0250000000000001E-2</v>
      </c>
      <c r="I24">
        <v>0.31</v>
      </c>
      <c r="J24">
        <f t="shared" si="0"/>
        <v>0.155</v>
      </c>
    </row>
    <row r="25" spans="1:10">
      <c r="A25" s="2">
        <v>22</v>
      </c>
      <c r="B25">
        <v>4.8800000000000003E-2</v>
      </c>
      <c r="C25">
        <v>3.4640000000000004E-2</v>
      </c>
      <c r="D25">
        <v>2.0400000000000001E-2</v>
      </c>
      <c r="E25">
        <v>3.3700000000000001E-2</v>
      </c>
      <c r="F25">
        <v>3.5000000000000003E-2</v>
      </c>
      <c r="G25">
        <v>2.5899999999999999E-3</v>
      </c>
      <c r="H25">
        <v>1.039E-2</v>
      </c>
      <c r="I25">
        <v>0.30780000000000002</v>
      </c>
      <c r="J25">
        <f t="shared" si="0"/>
        <v>0.15390000000000001</v>
      </c>
    </row>
    <row r="26" spans="1:10">
      <c r="A26" s="2">
        <v>23</v>
      </c>
      <c r="B26">
        <v>3.5499999999999997E-2</v>
      </c>
      <c r="C26">
        <v>1.422E-2</v>
      </c>
      <c r="D26">
        <v>8.8000000000000005E-3</v>
      </c>
      <c r="E26">
        <v>1.1679999999999999E-2</v>
      </c>
      <c r="F26">
        <v>3.2399999999999998E-2</v>
      </c>
      <c r="G26">
        <v>2.5999999999999999E-3</v>
      </c>
      <c r="H26">
        <v>7.79E-3</v>
      </c>
      <c r="I26">
        <v>9.0399999999999994E-2</v>
      </c>
      <c r="J26">
        <f t="shared" si="0"/>
        <v>4.5199999999999997E-2</v>
      </c>
    </row>
    <row r="27" spans="1:10">
      <c r="E27" t="s">
        <v>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49116b-0608-40ec-95ef-6f61efb7fb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C230E0B6828F4484B672781A63C15F" ma:contentTypeVersion="18" ma:contentTypeDescription="Create a new document." ma:contentTypeScope="" ma:versionID="b7ef9b0a4748c7235f0090ef78a6f17e">
  <xsd:schema xmlns:xsd="http://www.w3.org/2001/XMLSchema" xmlns:xs="http://www.w3.org/2001/XMLSchema" xmlns:p="http://schemas.microsoft.com/office/2006/metadata/properties" xmlns:ns3="3249116b-0608-40ec-95ef-6f61efb7fb5e" xmlns:ns4="0cd674c2-4395-4144-b0e2-6d50c40c675f" targetNamespace="http://schemas.microsoft.com/office/2006/metadata/properties" ma:root="true" ma:fieldsID="8b02e059c19d77170e8b1098e2fe1402" ns3:_="" ns4:_="">
    <xsd:import namespace="3249116b-0608-40ec-95ef-6f61efb7fb5e"/>
    <xsd:import namespace="0cd674c2-4395-4144-b0e2-6d50c40c67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49116b-0608-40ec-95ef-6f61efb7fb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674c2-4395-4144-b0e2-6d50c40c675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1AFB83-F9E2-4A86-B02B-07774A9E1F52}"/>
</file>

<file path=customXml/itemProps2.xml><?xml version="1.0" encoding="utf-8"?>
<ds:datastoreItem xmlns:ds="http://schemas.openxmlformats.org/officeDocument/2006/customXml" ds:itemID="{BCD00527-3B06-477F-BE28-330B27C8FBEE}"/>
</file>

<file path=customXml/itemProps3.xml><?xml version="1.0" encoding="utf-8"?>
<ds:datastoreItem xmlns:ds="http://schemas.openxmlformats.org/officeDocument/2006/customXml" ds:itemID="{70EDD0B8-4624-4714-AA14-9CA3767DB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Canterbury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Baxter Williams</dc:creator>
  <cp:keywords/>
  <dc:description/>
  <cp:lastModifiedBy>Baxter Williams</cp:lastModifiedBy>
  <cp:revision/>
  <dcterms:created xsi:type="dcterms:W3CDTF">2024-03-19T02:16:58Z</dcterms:created>
  <dcterms:modified xsi:type="dcterms:W3CDTF">2025-02-21T04:59:22Z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0x01010053C230E0B6828F4484B672781A63C15F</vt:lpwstr>
  </property>
</Properties>
</file>